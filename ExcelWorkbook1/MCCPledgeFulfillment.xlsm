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8385" yWindow="-1215" windowWidth="30345" windowHeight="12705" activeTab="2"/>
  </bookViews>
  <sheets>
    <sheet name="Transactions" sheetId="2" r:id="rId1"/>
    <sheet name="Types" sheetId="1" r:id="rId2"/>
    <sheet name="PledgeUnits" sheetId="3" r:id="rId3"/>
  </sheets>
  <calcPr calcId="145621"/>
</workbook>
</file>

<file path=xl/calcChain.xml><?xml version="1.0" encoding="utf-8"?>
<calcChain xmlns="http://schemas.openxmlformats.org/spreadsheetml/2006/main">
  <c r="D3" i="3" l="1"/>
  <c r="F3" i="3" s="1"/>
  <c r="D6" i="3"/>
  <c r="F6" i="3" s="1"/>
  <c r="D4" i="3"/>
  <c r="F4" i="3" s="1"/>
  <c r="D2" i="3"/>
  <c r="F2" i="3" s="1"/>
  <c r="D7" i="3"/>
  <c r="F7" i="3" s="1"/>
  <c r="D5" i="3"/>
  <c r="F5" i="3" s="1"/>
</calcChain>
</file>

<file path=xl/sharedStrings.xml><?xml version="1.0" encoding="utf-8"?>
<sst xmlns="http://schemas.openxmlformats.org/spreadsheetml/2006/main" count="105" uniqueCount="41">
  <si>
    <t>Annual 2017</t>
  </si>
  <si>
    <t>Check</t>
  </si>
  <si>
    <t>Annual 2018</t>
  </si>
  <si>
    <t>Cash</t>
  </si>
  <si>
    <t>Annual 2019</t>
  </si>
  <si>
    <t>Other</t>
  </si>
  <si>
    <t>Annual 2020</t>
  </si>
  <si>
    <t>Unrestricted gift</t>
  </si>
  <si>
    <t>Restricted gift</t>
  </si>
  <si>
    <t>Special offering</t>
  </si>
  <si>
    <t>Date</t>
  </si>
  <si>
    <t>Name</t>
  </si>
  <si>
    <t>Type</t>
  </si>
  <si>
    <t>Amount</t>
  </si>
  <si>
    <t>Check?</t>
  </si>
  <si>
    <t>Comment</t>
  </si>
  <si>
    <t>John Doe</t>
  </si>
  <si>
    <t>Joe Moe</t>
  </si>
  <si>
    <t>Bob Woe</t>
  </si>
  <si>
    <t>Fred Roe</t>
  </si>
  <si>
    <t>Ralph Toe</t>
  </si>
  <si>
    <t>5/13/18</t>
  </si>
  <si>
    <t>1/31/19</t>
  </si>
  <si>
    <t>Mike Poe</t>
  </si>
  <si>
    <t>Address</t>
  </si>
  <si>
    <t>Pledge</t>
  </si>
  <si>
    <t>YTD total</t>
  </si>
  <si>
    <t>Email</t>
  </si>
  <si>
    <t>Met pledge</t>
  </si>
  <si>
    <t>5 Mill Way</t>
  </si>
  <si>
    <t>jelenz@comcast.net</t>
  </si>
  <si>
    <t>6 Mill Way</t>
  </si>
  <si>
    <t>fr@ucc.org</t>
  </si>
  <si>
    <t>7 Mill Way</t>
  </si>
  <si>
    <t>mp@ucc.org</t>
  </si>
  <si>
    <t>8 Mill Way</t>
  </si>
  <si>
    <t>jm@ucc.org</t>
  </si>
  <si>
    <t>9 Mill Way</t>
  </si>
  <si>
    <t>bw@ucc.org</t>
  </si>
  <si>
    <t>10 Mill Way</t>
  </si>
  <si>
    <t>rt@ucc.org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</si>
</sst>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8" fontId="0" fillId="0" borderId="0" xfId="0" applyNumberFormat="1"/>
    <xf numFmtId="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9"/>
  <sheetViews>
    <sheetView workbookViewId="0">
      <selection activeCell="B11" sqref="B11"/>
    </sheetView>
  </sheetViews>
  <sheetFormatPr defaultRowHeight="15" x14ac:dyDescent="0.25"/>
  <cols>
    <col min="1" max="1" width="8.42578125" style="3" bestFit="1" customWidth="1"/>
    <col min="2" max="2" width="9.7109375" bestFit="1" customWidth="1"/>
    <col min="3" max="3" width="15.5703125" bestFit="1" customWidth="1"/>
    <col min="4" max="4" width="9.85546875" bestFit="1" customWidth="1"/>
    <col min="5" max="5" width="7.28515625" bestFit="1" customWidth="1"/>
    <col min="6" max="6" width="9.7109375" bestFit="1" customWidth="1"/>
  </cols>
  <sheetData>
    <row r="1" spans="1:6" s="4" customFormat="1" x14ac:dyDescent="0.25">
      <c r="A1" s="8" t="s">
        <v>10</v>
      </c>
      <c r="B1" s="4" t="s">
        <v>11</v>
      </c>
      <c r="C1" s="4" t="s">
        <v>12</v>
      </c>
      <c r="D1" s="4" t="s">
        <v>13</v>
      </c>
      <c r="E1" s="4" t="s">
        <v>14</v>
      </c>
      <c r="F1" s="4" t="s">
        <v>15</v>
      </c>
    </row>
    <row r="2" spans="1:6" x14ac:dyDescent="0.25">
      <c r="A2" s="1">
        <v>43225</v>
      </c>
      <c r="B2" t="s">
        <v>16</v>
      </c>
      <c r="C2" t="s">
        <v>2</v>
      </c>
      <c r="D2" s="2">
        <v>5</v>
      </c>
      <c r="E2" t="s">
        <v>1</v>
      </c>
    </row>
    <row r="3" spans="1:6" x14ac:dyDescent="0.25">
      <c r="A3" s="1">
        <v>43256</v>
      </c>
      <c r="B3" t="s">
        <v>16</v>
      </c>
      <c r="C3" t="s">
        <v>2</v>
      </c>
      <c r="D3" s="2">
        <v>1</v>
      </c>
      <c r="E3" t="s">
        <v>1</v>
      </c>
    </row>
    <row r="4" spans="1:6" x14ac:dyDescent="0.25">
      <c r="A4" s="1">
        <v>43256</v>
      </c>
      <c r="B4" t="s">
        <v>18</v>
      </c>
      <c r="C4" t="s">
        <v>4</v>
      </c>
      <c r="D4" s="2">
        <v>23.5</v>
      </c>
      <c r="E4" t="s">
        <v>3</v>
      </c>
    </row>
    <row r="5" spans="1:6" x14ac:dyDescent="0.25">
      <c r="A5" s="1">
        <v>43256</v>
      </c>
      <c r="B5" t="s">
        <v>16</v>
      </c>
      <c r="C5" t="s">
        <v>7</v>
      </c>
      <c r="D5" s="2">
        <v>15</v>
      </c>
      <c r="E5" t="s">
        <v>1</v>
      </c>
    </row>
    <row r="6" spans="1:6" x14ac:dyDescent="0.25">
      <c r="A6" s="1">
        <v>43256</v>
      </c>
      <c r="B6" t="s">
        <v>20</v>
      </c>
      <c r="C6" t="s">
        <v>4</v>
      </c>
      <c r="D6" s="2">
        <v>11</v>
      </c>
      <c r="E6" t="s">
        <v>3</v>
      </c>
    </row>
    <row r="7" spans="1:6" x14ac:dyDescent="0.25">
      <c r="A7" s="1">
        <v>43256</v>
      </c>
      <c r="B7" t="s">
        <v>16</v>
      </c>
      <c r="C7" t="s">
        <v>4</v>
      </c>
      <c r="D7" s="2">
        <v>123</v>
      </c>
      <c r="E7" t="s">
        <v>1</v>
      </c>
    </row>
    <row r="8" spans="1:6" x14ac:dyDescent="0.25">
      <c r="A8" s="1">
        <v>43256</v>
      </c>
      <c r="B8" t="s">
        <v>16</v>
      </c>
      <c r="C8" t="s">
        <v>8</v>
      </c>
      <c r="D8" s="2">
        <v>15.25</v>
      </c>
      <c r="E8" t="s">
        <v>1</v>
      </c>
    </row>
    <row r="9" spans="1:6" x14ac:dyDescent="0.25">
      <c r="A9" s="1">
        <v>43256</v>
      </c>
      <c r="B9" t="s">
        <v>16</v>
      </c>
      <c r="C9" t="s">
        <v>4</v>
      </c>
      <c r="D9" s="2">
        <v>17.5</v>
      </c>
      <c r="E9" t="s">
        <v>1</v>
      </c>
    </row>
    <row r="10" spans="1:6" x14ac:dyDescent="0.25">
      <c r="A10" s="1" t="s">
        <v>21</v>
      </c>
      <c r="B10" t="s">
        <v>19</v>
      </c>
      <c r="C10" t="s">
        <v>4</v>
      </c>
      <c r="D10" s="2">
        <v>300</v>
      </c>
      <c r="E10" t="s">
        <v>1</v>
      </c>
    </row>
    <row r="11" spans="1:6" x14ac:dyDescent="0.25">
      <c r="A11" s="1" t="s">
        <v>21</v>
      </c>
      <c r="B11" t="s">
        <v>20</v>
      </c>
      <c r="C11" t="s">
        <v>4</v>
      </c>
      <c r="D11" s="2">
        <v>200</v>
      </c>
      <c r="E11" t="s">
        <v>3</v>
      </c>
    </row>
    <row r="12" spans="1:6" x14ac:dyDescent="0.25">
      <c r="A12" s="1" t="s">
        <v>21</v>
      </c>
      <c r="B12" t="s">
        <v>16</v>
      </c>
      <c r="C12" t="s">
        <v>4</v>
      </c>
      <c r="D12" s="2">
        <v>5</v>
      </c>
      <c r="E12" t="s">
        <v>1</v>
      </c>
    </row>
    <row r="13" spans="1:6" x14ac:dyDescent="0.25">
      <c r="A13" s="1" t="s">
        <v>21</v>
      </c>
      <c r="B13" t="s">
        <v>23</v>
      </c>
      <c r="C13" t="s">
        <v>2</v>
      </c>
      <c r="D13" s="2">
        <v>3.75</v>
      </c>
      <c r="E13" t="s">
        <v>1</v>
      </c>
    </row>
    <row r="14" spans="1:6" x14ac:dyDescent="0.25">
      <c r="A14" s="1" t="s">
        <v>21</v>
      </c>
      <c r="B14" t="s">
        <v>20</v>
      </c>
      <c r="C14" t="s">
        <v>4</v>
      </c>
      <c r="D14" s="2">
        <v>19</v>
      </c>
      <c r="E14" t="s">
        <v>1</v>
      </c>
    </row>
    <row r="15" spans="1:6" x14ac:dyDescent="0.25">
      <c r="A15" s="1" t="s">
        <v>21</v>
      </c>
      <c r="B15" t="s">
        <v>16</v>
      </c>
      <c r="C15" t="s">
        <v>4</v>
      </c>
      <c r="D15" s="2">
        <v>88</v>
      </c>
      <c r="E15" t="s">
        <v>1</v>
      </c>
    </row>
    <row r="16" spans="1:6" x14ac:dyDescent="0.25">
      <c r="A16" s="1" t="s">
        <v>21</v>
      </c>
      <c r="B16" t="s">
        <v>19</v>
      </c>
      <c r="C16" t="s">
        <v>4</v>
      </c>
      <c r="D16" s="2">
        <v>500</v>
      </c>
      <c r="E16" t="s">
        <v>1</v>
      </c>
    </row>
    <row r="17" spans="1:5" x14ac:dyDescent="0.25">
      <c r="A17" s="1" t="s">
        <v>21</v>
      </c>
      <c r="B17" t="s">
        <v>16</v>
      </c>
      <c r="C17" t="s">
        <v>2</v>
      </c>
      <c r="D17" s="2">
        <v>1000</v>
      </c>
      <c r="E17" t="s">
        <v>1</v>
      </c>
    </row>
    <row r="18" spans="1:5" x14ac:dyDescent="0.25">
      <c r="A18" s="3" t="s">
        <v>22</v>
      </c>
      <c r="B18" t="s">
        <v>23</v>
      </c>
      <c r="C18" t="s">
        <v>4</v>
      </c>
      <c r="D18" s="2">
        <v>50</v>
      </c>
      <c r="E18" t="s">
        <v>1</v>
      </c>
    </row>
    <row r="19" spans="1:5" x14ac:dyDescent="0.25">
      <c r="A19" s="3" t="s">
        <v>22</v>
      </c>
      <c r="B19" t="s">
        <v>17</v>
      </c>
      <c r="C19" t="s">
        <v>4</v>
      </c>
      <c r="D19" s="2">
        <v>25</v>
      </c>
      <c r="E19" t="s">
        <v>3</v>
      </c>
    </row>
  </sheetData>
  <dataConsolidate/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Types!$A$1:$A$8</xm:f>
          </x14:formula1>
          <xm:sqref>C2:C19</xm:sqref>
        </x14:dataValidation>
        <x14:dataValidation type="list" showInputMessage="1" showErrorMessage="1">
          <x14:formula1>
            <xm:f>Types!$B$1:$B$3</xm:f>
          </x14:formula1>
          <xm:sqref>E2:E19</xm:sqref>
        </x14:dataValidation>
        <x14:dataValidation type="list" allowBlank="1" showInputMessage="1" showErrorMessage="1">
          <x14:formula1>
            <xm:f>PledgeUnits!$A$2:$A$7</xm:f>
          </x14:formula1>
          <xm:sqref>B2:B19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workbookViewId="0">
      <selection activeCell="C8" sqref="C8"/>
    </sheetView>
  </sheetViews>
  <sheetFormatPr defaultRowHeight="15" x14ac:dyDescent="0.25"/>
  <cols>
    <col min="1" max="1" width="15.1406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</row>
    <row r="5" spans="1:2" x14ac:dyDescent="0.25">
      <c r="A5" t="s">
        <v>7</v>
      </c>
    </row>
    <row r="6" spans="1:2" x14ac:dyDescent="0.25">
      <c r="A6" t="s">
        <v>8</v>
      </c>
    </row>
    <row r="7" spans="1:2" x14ac:dyDescent="0.25">
      <c r="A7" t="s">
        <v>9</v>
      </c>
    </row>
    <row r="8" spans="1:2" x14ac:dyDescent="0.25">
      <c r="A8" t="s">
        <v>5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7"/>
  <sheetViews>
    <sheetView tabSelected="1" workbookViewId="0">
      <selection activeCell="G7" sqref="G7"/>
    </sheetView>
  </sheetViews>
  <sheetFormatPr defaultRowHeight="15" x14ac:dyDescent="0.25"/>
  <cols>
    <col min="1" max="1" width="9.7109375" bestFit="1" customWidth="1"/>
    <col min="2" max="2" width="11.140625" bestFit="1" customWidth="1"/>
    <col min="3" max="3" width="8.28515625" bestFit="1" customWidth="1"/>
    <col min="4" max="4" width="9.85546875" bestFit="1" customWidth="1"/>
    <col min="5" max="5" width="19.28515625" style="7" bestFit="1" customWidth="1"/>
    <col min="6" max="6" width="11.28515625" style="5" bestFit="1" customWidth="1"/>
  </cols>
  <sheetData>
    <row r="1" spans="1:6" s="4" customFormat="1" x14ac:dyDescent="0.25">
      <c r="A1" s="4" t="s">
        <v>11</v>
      </c>
      <c r="B1" s="4" t="s">
        <v>24</v>
      </c>
      <c r="C1" s="4" t="s">
        <v>25</v>
      </c>
      <c r="D1" s="4" t="s">
        <v>26</v>
      </c>
      <c r="E1" s="6" t="s">
        <v>27</v>
      </c>
      <c r="F1" s="4" t="s">
        <v>28</v>
      </c>
    </row>
    <row r="2" spans="1:6" x14ac:dyDescent="0.25">
      <c r="A2" t="s">
        <v>18</v>
      </c>
      <c r="B2" t="s">
        <v>37</v>
      </c>
      <c r="C2" s="2">
        <v>60</v>
      </c>
      <c r="D2" s="2">
        <f>SUMIFS(Transactions!$D$2:$D$995,Transactions!$B$2:$B$995,PledgeUnits!A6,Transactions!$C$2:$C$995,"Annual 2019")</f>
        <v>50</v>
      </c>
      <c r="E2" s="7" t="s">
        <v>38</v>
      </c>
      <c r="F2" s="5" t="str">
        <f>IF(D2&gt;=C2,"X","")</f>
        <v/>
      </c>
    </row>
    <row r="3" spans="1:6" x14ac:dyDescent="0.25">
      <c r="A3" t="s">
        <v>19</v>
      </c>
      <c r="B3" t="s">
        <v>31</v>
      </c>
      <c r="C3" s="2">
        <v>55</v>
      </c>
      <c r="D3" s="2">
        <f>SUMIFS(Transactions!$D$2:$D$995,Transactions!$B$2:$B$995,PledgeUnits!A3,Transactions!$C$2:$C$995,"Annual 2019")</f>
        <v>800</v>
      </c>
      <c r="E3" s="7" t="s">
        <v>32</v>
      </c>
      <c r="F3" s="5" t="str">
        <f>IF(D3&gt;=C3,"X","")</f>
        <v>X</v>
      </c>
    </row>
    <row r="4" spans="1:6" x14ac:dyDescent="0.25">
      <c r="A4" t="s">
        <v>17</v>
      </c>
      <c r="B4" t="s">
        <v>35</v>
      </c>
      <c r="C4" s="2">
        <v>542</v>
      </c>
      <c r="D4" s="2">
        <f>SUMIFS(Transactions!$D$2:$D$995,Transactions!$B$2:$B$995,PledgeUnits!A5,Transactions!$C$2:$C$995,"Annual 2019")</f>
        <v>233.5</v>
      </c>
      <c r="E4" s="7" t="s">
        <v>36</v>
      </c>
      <c r="F4" s="5" t="str">
        <f>IF(D4&gt;=C4,"X","")</f>
        <v/>
      </c>
    </row>
    <row r="5" spans="1:6" x14ac:dyDescent="0.25">
      <c r="A5" t="s">
        <v>16</v>
      </c>
      <c r="B5" t="s">
        <v>29</v>
      </c>
      <c r="C5" s="2">
        <v>50</v>
      </c>
      <c r="D5" s="2">
        <f>SUMIFS(Transactions!$D$2:$D$995,Transactions!$B$2:$B$995,PledgeUnits!A2,Transactions!$C$2:$C$995,"Annual 2019")</f>
        <v>23.5</v>
      </c>
      <c r="E5" s="7" t="s">
        <v>30</v>
      </c>
      <c r="F5" s="5" t="str">
        <f>IF(D5&gt;=C5,"X","")</f>
        <v/>
      </c>
    </row>
    <row r="6" spans="1:6" x14ac:dyDescent="0.25">
      <c r="A6" t="s">
        <v>23</v>
      </c>
      <c r="B6" t="s">
        <v>33</v>
      </c>
      <c r="C6" s="2">
        <v>560</v>
      </c>
      <c r="D6" s="2">
        <f>SUMIFS(Transactions!$D$2:$D$995,Transactions!$B$2:$B$995,PledgeUnits!A4,Transactions!$C$2:$C$995,"Annual 2019")</f>
        <v>25</v>
      </c>
      <c r="E6" s="7" t="s">
        <v>34</v>
      </c>
      <c r="F6" s="5" t="str">
        <f>IF(D6&gt;=C6,"X","")</f>
        <v/>
      </c>
    </row>
    <row r="7" spans="1:6" x14ac:dyDescent="0.25">
      <c r="A7" t="s">
        <v>20</v>
      </c>
      <c r="B7" t="s">
        <v>39</v>
      </c>
      <c r="C7" s="2">
        <v>50</v>
      </c>
      <c r="D7" s="2">
        <f>SUMIFS(Transactions!$D$2:$D$995,Transactions!$B$2:$B$995,PledgeUnits!A7,Transactions!$C$2:$C$995,"Annual 2019")</f>
        <v>230</v>
      </c>
      <c r="E7" s="7" t="s">
        <v>40</v>
      </c>
      <c r="F7" s="5" t="str">
        <f>IF(D7&gt;=C7,"X","")</f>
        <v>X</v>
      </c>
    </row>
  </sheetData>
  <sortState ref="A2:F19">
    <sortCondition ref="A1"/>
  </sortState>
  <dataConsolidate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Transactions</vt:lpstr>
      <vt:lpstr>Types</vt:lpstr>
      <vt:lpstr>PledgeUnits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</dc:creator>
  <cp:lastModifiedBy>Jim</cp:lastModifiedBy>
  <dcterms:created xsi:type="dcterms:W3CDTF">2019-01-31T23:01:03Z</dcterms:created>
  <dcterms:modified xsi:type="dcterms:W3CDTF">2019-01-31T23:34:18Z</dcterms:modified>
</cp:coreProperties>
</file>